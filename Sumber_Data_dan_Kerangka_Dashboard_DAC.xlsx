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ber Data BPS" sheetId="1" state="visible" r:id="rId3"/>
    <sheet name="Struktur Dashboard" sheetId="2" state="visible" r:id="rId4"/>
    <sheet name="Model Estimasi" sheetId="3" state="visible" r:id="rId5"/>
    <sheet name="Catat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<sst xmlns="http://schemas.openxmlformats.org/spreadsheetml/2006/main" count="221" uniqueCount="180">
  <si>
    <t xml:space="preserve">Sumber Data BPS: Dashboard Gabungan 'Lotere Alamat' + Indeks Kesenjangan</t>
  </si>
  <si>
    <t xml:space="preserve">Semua data wajib bersumber dari BPS (bps.go.id atau jateng.bps.go.id). Kolom 'Status Cek' dan 'Catatan Anda' diisi sendiri setelah membuka tiap tabel (pastikan bisa diunduh sebagai Excel/CSV).</t>
  </si>
  <si>
    <t xml:space="preserve">No</t>
  </si>
  <si>
    <t xml:space="preserve">Kebutuhan</t>
  </si>
  <si>
    <t xml:space="preserve">Tabel / Publikasi BPS</t>
  </si>
  <si>
    <t xml:space="preserve">Level Data</t>
  </si>
  <si>
    <t xml:space="preserve">Keterangan hasil pengecekan</t>
  </si>
  <si>
    <t xml:space="preserve">Dipakai di</t>
  </si>
  <si>
    <t xml:space="preserve">URL</t>
  </si>
  <si>
    <t xml:space="preserve">Status Cek</t>
  </si>
  <si>
    <t xml:space="preserve">Catatan Anda</t>
  </si>
  <si>
    <t xml:space="preserve">Peluang tamat per jenjang × kuintil</t>
  </si>
  <si>
    <t xml:space="preserve">Tingkat Penyelesaian Pendidikan Menurut Jenjang Pendidikan dan Kuintil Pengeluaran</t>
  </si>
  <si>
    <t xml:space="preserve">Nasional</t>
  </si>
  <si>
    <t xml:space="preserve">Tabel yang terlihat memuat tahun 2023, diperbarui April 2026. Nilai kuintil terbawah SD/SMP/SMA: 96,36 / 85,17 / 52,41; kuintil menengah: 98,12 / 91,12 / 68,26.</t>
  </si>
  <si>
    <t xml:space="preserve">Halaman 1 (funnel)</t>
  </si>
  <si>
    <t xml:space="preserve">https://www.bps.go.id/id/statistics-table/2/MTk4MyMy/tingkat-penyelesaian-pendidikan-menurut-jenjang-pendidikan-dan-kuintil-pengeluaran.html</t>
  </si>
  <si>
    <t xml:space="preserve">Belum dicek</t>
  </si>
  <si>
    <t xml:space="preserve">Anak tidak sekolah</t>
  </si>
  <si>
    <t xml:space="preserve">Number of Out of School Children by Educational Level and Expenditure Quintile</t>
  </si>
  <si>
    <t xml:space="preserve">Tercantum di daftar tabel subjek Pendidikan dengan tanggal pembaruan 8 April 2026. Buka daftar lalu pilih tabelnya.</t>
  </si>
  <si>
    <t xml:space="preserve">Halaman 1 (KPI)</t>
  </si>
  <si>
    <t xml:space="preserve">https://www.bps.go.id/en/statistics-table?subject=521</t>
  </si>
  <si>
    <t xml:space="preserve">Partisipasi jenjang menengah atas per kuintil</t>
  </si>
  <si>
    <t xml:space="preserve">Angka Partisipasi Kasar (APK) SM/Sederajat Menurut Kuintil Pengeluaran</t>
  </si>
  <si>
    <t xml:space="preserve">Tersedia (halaman tabel terverifikasi ada).</t>
  </si>
  <si>
    <t xml:space="preserve">https://www.bps.go.id/en/statistics-table/2/MTM0MyMy/angka-partisipasi-kasar--apk--sm-sederajat-menurut-kuintil-pengeluaran.html</t>
  </si>
  <si>
    <t xml:space="preserve">Partisipasi perguruan tinggi per kuintil</t>
  </si>
  <si>
    <t xml:space="preserve">Angka Partisipasi Kasar (APK) Perguruan Tinggi (PT) Menurut Kuintil Pengeluaran</t>
  </si>
  <si>
    <t xml:space="preserve">Tersedia (halaman tabel terverifikasi ada). Diperlukan karena Tabel 1 hanya mencakup SD-SMA.</t>
  </si>
  <si>
    <t xml:space="preserve">Halaman 1 (funnel PT)</t>
  </si>
  <si>
    <t xml:space="preserve">https://www.bps.go.id/en/statistics-table/2/MTQ0NCMy/angka-partisipasi-kasar--apk--perguruan-tinggi--pt--menurut-kuintil-pengeluaran.html</t>
  </si>
  <si>
    <t xml:space="preserve">Kesenjangan gender per kuintil</t>
  </si>
  <si>
    <t xml:space="preserve">Rasio APK Perempuan/Laki-laki di Tingkat Perguruan Tinggi Menurut Kuintil Pengeluaran</t>
  </si>
  <si>
    <t xml:space="preserve">Gender Parity Index APK PT menurut kuintil.</t>
  </si>
  <si>
    <t xml:space="preserve">Halaman 1 (faktor gender)</t>
  </si>
  <si>
    <t xml:space="preserve">https://www.bps.go.id/en/statistics-table/2/MTQ1NyMy/rasio-angka-partisipasi-kasar--apk--perempuan-laki-laki-di-tingkat-perguruan-tinggi-menurut-kuintil-pengeluaran.html</t>
  </si>
  <si>
    <t xml:space="preserve">Faktor provinsi (R_provinsi)</t>
  </si>
  <si>
    <t xml:space="preserve">Angka Partisipasi Sekolah (APS) Menurut Provinsi dan Kelompok Umur</t>
  </si>
  <si>
    <t xml:space="preserve">Provinsi</t>
  </si>
  <si>
    <t xml:space="preserve">Tersedia per kelompok umur.</t>
  </si>
  <si>
    <t xml:space="preserve">Halaman 1 dan 2</t>
  </si>
  <si>
    <t xml:space="preserve">https://www.bps.go.id/id/statistics-table/2/MjIxMSMy/angka-partisipasi-sekolah--aps--menurut-provinsi-dan-kelompok-umur.html</t>
  </si>
  <si>
    <t xml:space="preserve">Faktor desa/kota dan gender (R_daerah, R_gender)</t>
  </si>
  <si>
    <t xml:space="preserve">APS Penduduk Umur 7-18 Tahun Menurut Klasifikasi Desa, Jenis Kelamin, dan Kelompok Umur, 2009-2025</t>
  </si>
  <si>
    <t xml:space="preserve">Nasional (perkotaan/perdesaan)</t>
  </si>
  <si>
    <t xml:space="preserve">Runtun waktu 2009-2025, dipisah perkotaan/perdesaan dan jenis kelamin.</t>
  </si>
  <si>
    <t xml:space="preserve">https://www.bps.go.id/id/statistics-table/1/MTYxMyMx/angka-partisipasi-sekolah-aps-penduduk-umur-7-18-tahun-menurut-klasifikasi-desa-jenis-kelamin-dan-kelompok-umur-2009-2023.html</t>
  </si>
  <si>
    <t xml:space="preserve">Rujukan metodologi dan rekap</t>
  </si>
  <si>
    <t xml:space="preserve">Publikasi Statistik Pendidikan 2025</t>
  </si>
  <si>
    <t xml:space="preserve">Nasional dan provinsi</t>
  </si>
  <si>
    <t xml:space="preserve">Berbasis Susenas Maret 2025, rilis 21 November 2025. Data sekolah (sekolah, ruang kelas, sanitasi, guru) hanya nasional dan provinsi.</t>
  </si>
  <si>
    <t xml:space="preserve">PDF / metodologi</t>
  </si>
  <si>
    <t xml:space="preserve">https://www.bps.go.id/en/publication/2025/11/21/d048070f37740b0e04d99350/statistik-pendidikan-2025.html</t>
  </si>
  <si>
    <t xml:space="preserve">Rekap indikator pendidikan jangka panjang</t>
  </si>
  <si>
    <t xml:space="preserve">Indikator Pendidikan, 1994-2025</t>
  </si>
  <si>
    <t xml:space="preserve">Tersedia.</t>
  </si>
  <si>
    <t xml:space="preserve">Halaman 2 (tren)</t>
  </si>
  <si>
    <t xml:space="preserve">https://www.bps.go.id/en/statistics-table/1/MTUyNSMx/indikator-pendidikan--1994-2025.html</t>
  </si>
  <si>
    <t xml:space="preserve">Fasilitas pendidikan (dimensi indeks, level provinsi)</t>
  </si>
  <si>
    <t xml:space="preserve">Jumlah Desa yang Memiliki Fasilitas Pendidikan Menurut Provinsi dan Jenjang Pendidikan</t>
  </si>
  <si>
    <t xml:space="preserve">Tercantum di daftar tabel subjek Pendidikan, pembaruan 10 Maret 2026.</t>
  </si>
  <si>
    <t xml:space="preserve">Halaman 2 (indeks provinsi)</t>
  </si>
  <si>
    <t xml:space="preserve">RLS dan HLS per kabupaten/kota</t>
  </si>
  <si>
    <t xml:space="preserve">Tabel IPM dan komponennya (RLS, HLS) per kabupaten/kota</t>
  </si>
  <si>
    <t xml:space="preserve">Kabupaten/kota</t>
  </si>
  <si>
    <t xml:space="preserve">Nilai HLS kab/kota 2025 terlihat di Databoks yang mengutip BPS. Ambil file aslinya dari BPS (pusat atau provinsi).</t>
  </si>
  <si>
    <t xml:space="preserve">Halaman 2 (indeks, klaster)</t>
  </si>
  <si>
    <t xml:space="preserve">Cari di bps.go.id (Tabel Statistik &gt; IPM)</t>
  </si>
  <si>
    <t xml:space="preserve">APS per kabupaten/kota</t>
  </si>
  <si>
    <t xml:space="preserve">APS Menurut Kabupaten/Kota dan Kelompok Umur (situs BPS provinsi)</t>
  </si>
  <si>
    <t xml:space="preserve">Contoh yang terverifikasi: BPS Sumbar (usia 7-12, 13-15, 16-18; tahun 2024). Untuk Jawa Tengah cek jateng.bps.go.id.</t>
  </si>
  <si>
    <t xml:space="preserve">https://sumbar.bps.go.id/en/statistics-table/2/MTE3IzI=/angka-partisipasi-sekolah-aps-penduduk-berumur-5-18-tahun-menurut-kabupaten-kota-dan-kelompok-umur.html</t>
  </si>
  <si>
    <t xml:space="preserve">Bobot penduduk untuk Indeks Theil</t>
  </si>
  <si>
    <t xml:space="preserve">Jumlah penduduk / proyeksi penduduk per kabupaten/kota</t>
  </si>
  <si>
    <t xml:space="preserve">BELUM DIVERIFIKASI. Cari di bps.go.id.</t>
  </si>
  <si>
    <t xml:space="preserve">Halaman 2 (Theil)</t>
  </si>
  <si>
    <t xml:space="preserve">Cari di bps.go.id</t>
  </si>
  <si>
    <t xml:space="preserve">Ringkasan status cek</t>
  </si>
  <si>
    <t xml:space="preserve">Sudah dicek</t>
  </si>
  <si>
    <t xml:space="preserve">Tidak tersedia</t>
  </si>
  <si>
    <t xml:space="preserve">Total sumber</t>
  </si>
  <si>
    <t xml:space="preserve">Struktur Dua Halaman Dashboard</t>
  </si>
  <si>
    <t xml:space="preserve">Halaman</t>
  </si>
  <si>
    <t xml:space="preserve">Komponen</t>
  </si>
  <si>
    <t xml:space="preserve">Isi / fungsi</t>
  </si>
  <si>
    <t xml:space="preserve">Data (No. di sheet Sumber Data BPS)</t>
  </si>
  <si>
    <t xml:space="preserve">Catatan</t>
  </si>
  <si>
    <t xml:space="preserve">1: Lotere Alamat</t>
  </si>
  <si>
    <t xml:space="preserve">Selektor profil anak</t>
  </si>
  <si>
    <t xml:space="preserve">Empat pilihan: provinsi, perkotaan/perdesaan, kuintil pengeluaran, gender. Tambah profil pembanding otomatis (mis. kuintil 5 perkotaan di provinsi yang sama).</t>
  </si>
  <si>
    <t xml:space="preserve">1, 3, 6, 7</t>
  </si>
  <si>
    <t xml:space="preserve">Letakkan di panel kiri.</t>
  </si>
  <si>
    <t xml:space="preserve">KPI</t>
  </si>
  <si>
    <t xml:space="preserve">Peluang tamat SMA; Opportunity Gap (selisih poin persentase vs profil pembanding); faktor penghambat terbesar; peringkat provinsi.</t>
  </si>
  <si>
    <t xml:space="preserve">1, 2, 6, 7</t>
  </si>
  <si>
    <t xml:space="preserve">Opportunity Gap dihitung di sheet Model Estimasi.</t>
  </si>
  <si>
    <t xml:space="preserve">Funnel 'tangga yang bocor'</t>
  </si>
  <si>
    <t xml:space="preserve">SD → SMP → SMA → PT, dua seri berdampingan (profil pilihan vs pembanding).</t>
  </si>
  <si>
    <t xml:space="preserve">1, 3, 4</t>
  </si>
  <si>
    <t xml:space="preserve">Kebocoran paling besar di jenjang atas.</t>
  </si>
  <si>
    <t xml:space="preserve">Baris 100 ikon orang</t>
  </si>
  <si>
    <t xml:space="preserve">Kalimat dinamis: 'dari 100 anak berprofil ini, sekitar X lulus SMA'.</t>
  </si>
  <si>
    <t xml:space="preserve">Hasil model</t>
  </si>
  <si>
    <t xml:space="preserve">Bantu storytelling.</t>
  </si>
  <si>
    <t xml:space="preserve">2: Peta Penyebab</t>
  </si>
  <si>
    <t xml:space="preserve">Peta provinsi + drill-down kab/kota</t>
  </si>
  <si>
    <t xml:space="preserve">Provinsi pilihan di Halaman 1 menjadi filter. Drill-down khusus Jawa Tengah untuk konteks lokal.</t>
  </si>
  <si>
    <t xml:space="preserve">6, 11, 12</t>
  </si>
  <si>
    <t xml:space="preserve">Sinkronkan filter antarhalaman (mis. sync slicer di Power BI).</t>
  </si>
  <si>
    <t xml:space="preserve">Indeks Kesenjangan Pendidikan (IKP)</t>
  </si>
  <si>
    <t xml:space="preserve">Indeks komposit per kab/kota: dimensi Akses (APS) dan Capaian (RLS, HLS). Fasilitas hanya di level provinsi.</t>
  </si>
  <si>
    <t xml:space="preserve">11, 12, 10</t>
  </si>
  <si>
    <t xml:space="preserve">Gunakan indikator BPS saja; rumus indeks ditulis di PDF.</t>
  </si>
  <si>
    <t xml:space="preserve">Scatter Akses vs Capaian + klaster</t>
  </si>
  <si>
    <t xml:space="preserve">K-Means (k = 4) dengan label tipologi: Maju Merata, Kota Timpang, Berkembang, Tertinggal Struktural.</t>
  </si>
  <si>
    <t xml:space="preserve">11, 12</t>
  </si>
  <si>
    <t xml:space="preserve">Hitung di Python/R lalu impor label klaster sebagai kolom.</t>
  </si>
  <si>
    <t xml:space="preserve">Dekomposisi Indeks Theil</t>
  </si>
  <si>
    <t xml:space="preserve">Ketimpangan antarprovinsi vs dalam provinsi, per tahun jika data tersedia.</t>
  </si>
  <si>
    <t xml:space="preserve">11, 12, 13</t>
  </si>
  <si>
    <t xml:space="preserve">Perlu bobot penduduk (No. 13, belum diverifikasi).</t>
  </si>
  <si>
    <t xml:space="preserve">Dekomposisi penyebab gap</t>
  </si>
  <si>
    <t xml:space="preserve">Bar kontribusi faktor wilayah vs ekonomi vs gender terhadap Opportunity Gap.</t>
  </si>
  <si>
    <t xml:space="preserve">Berdasar rasio R di sheet Model Estimasi.</t>
  </si>
  <si>
    <t xml:space="preserve">Teknis</t>
  </si>
  <si>
    <t xml:space="preserve">Watermark Data Slayer</t>
  </si>
  <si>
    <t xml:space="preserve">Bingkai pink dengan logo di sisi kanan tengah.</t>
  </si>
  <si>
    <t xml:space="preserve">-</t>
  </si>
  <si>
    <t xml:space="preserve">Sisakan margin kanan lebih lebar dan pilih palet yang serasi dengan pink.</t>
  </si>
  <si>
    <t xml:space="preserve">Aksesibilitas juri</t>
  </si>
  <si>
    <t xml:space="preserve">Link dashboard harus publik: Tableau Public, Publish to Web (Power BI), atau link share (Looker Studio).</t>
  </si>
  <si>
    <t xml:space="preserve">Pelanggaran aturan platform/akses = diskualifikasi.</t>
  </si>
  <si>
    <t xml:space="preserve">Model Estimasi Peluang Tamat Jenjang (Halaman 1)</t>
  </si>
  <si>
    <t xml:space="preserve">Peluang tamat jenjang j ≈ MIN(100%, P_nasional(j | kuintil) × R_provinsi(j) × R_daerah(j) × R_gender(j))</t>
  </si>
  <si>
    <t xml:space="preserve">R = indikator kelompok ÷ indikator nasional (mis. APS provinsi ÷ APS nasional pada kelompok umur yang sesuai). Model mengasumsikan faktor-faktornya independen; ini estimasi indikatif, bukan prediksi individu.</t>
  </si>
  <si>
    <t xml:space="preserve">Legenda:</t>
  </si>
  <si>
    <t xml:space="preserve">Teks biru = input</t>
  </si>
  <si>
    <t xml:space="preserve">Sel kuning = isi dari tabel BPS</t>
  </si>
  <si>
    <t xml:space="preserve">Teks hitam = rumus</t>
  </si>
  <si>
    <t xml:space="preserve">Profil terpilih (contoh: kuintil terbawah)</t>
  </si>
  <si>
    <t xml:space="preserve">Profil pembanding (contoh: kuintil menengah; ganti ke kuintil 5)</t>
  </si>
  <si>
    <t xml:space="preserve">Jenjang</t>
  </si>
  <si>
    <t xml:space="preserve">P nasional</t>
  </si>
  <si>
    <t xml:space="preserve">R provinsi</t>
  </si>
  <si>
    <t xml:space="preserve">R daerah</t>
  </si>
  <si>
    <t xml:space="preserve">R gender</t>
  </si>
  <si>
    <t xml:space="preserve">Estimasi peluang</t>
  </si>
  <si>
    <t xml:space="preserve">Opportunity Gap (poin persentase)</t>
  </si>
  <si>
    <t xml:space="preserve">SD</t>
  </si>
  <si>
    <t xml:space="preserve">SMP</t>
  </si>
  <si>
    <t xml:space="preserve">SMA</t>
  </si>
  <si>
    <t xml:space="preserve">PT</t>
  </si>
  <si>
    <t xml:space="preserve">Ringkasan KPI</t>
  </si>
  <si>
    <t xml:space="preserve">Peluang tamat SMA (profil terpilih)</t>
  </si>
  <si>
    <t xml:space="preserve">Opportunity Gap SMA (poin persentase)</t>
  </si>
  <si>
    <t xml:space="preserve">Jenjang dengan gap terbesar</t>
  </si>
  <si>
    <t xml:space="preserve">Catatan asumsi dan sumber:</t>
  </si>
  <si>
    <t xml:space="preserve">1. P nasional SD/SMP/SMA: BPS, Tingkat Penyelesaian Pendidikan Menurut Jenjang dan Kuintil Pengeluaran, data 2023 (terbawah: 96,36 / 85,17 / 52,41; menengah: 98,12 / 91,12 / 68,26).</t>
  </si>
  <si>
    <t xml:space="preserve">2. Nilai profil pembanding memakai kuintil menengah hanya sebagai contoh; ganti dengan kuintil 5 dari tabel yang sama.</t>
  </si>
  <si>
    <t xml:space="preserve">3. P nasional PT dikosongkan: ambil dari tabel APK PT menurut kuintil (No. 4 di sheet Sumber Data BPS) atau tabel lain yang Anda pilih.</t>
  </si>
  <si>
    <t xml:space="preserve">4. R = 1,000 adalah nilai netral (tanpa penyesuaian) dan hanya placeholder. Isi dari rasio APS provinsi, desa/kota, dan gender (No. 6 dan 7 di sheet Sumber Data BPS).</t>
  </si>
  <si>
    <t xml:space="preserve">5. Sel PT dan hasil turunannya tetap kosong sampai P nasional PT diisi.</t>
  </si>
  <si>
    <t xml:space="preserve">Catatan Jujur dan Keterbatasan</t>
  </si>
  <si>
    <t xml:space="preserve">Topik</t>
  </si>
  <si>
    <t xml:space="preserve">Penjelasan</t>
  </si>
  <si>
    <t xml:space="preserve">Koreksi dari jawaban sebelumnya</t>
  </si>
  <si>
    <t xml:space="preserve">Rasio murid-guru dan kondisi sekolah per kab/kota tidak tersedia di publikasi BPS (data sekolah hanya nasional dan provinsi). Data kab/kota yang lebih rinci ada di portal Kemendikdasmen, tetapi itu bukan BPS dan berisiko melanggar aturan sumber data. Indeks kab/kota sebaiknya memakai indikator BPS saja (APS, RLS, HLS); dimensi fasilitas hanya di level provinsi.</t>
  </si>
  <si>
    <t xml:space="preserve">Tahun data tidak seragam</t>
  </si>
  <si>
    <t xml:space="preserve">Tabel kuintil yang terlihat berisi tahun 2023, sedangkan APS desa/kota sampai 2025. Cantumkan tahun di setiap visual dan di catatan kaki.</t>
  </si>
  <si>
    <t xml:space="preserve">Verifikasi sebelum membangun</t>
  </si>
  <si>
    <t xml:space="preserve">Buka tiap tabel dan pastikan bisa diunduh sebagai Excel/CSV. Beberapa tabel BPS hanya menampilkan sebagian baris atau tahun di pratinjau.</t>
  </si>
  <si>
    <t xml:space="preserve">Kombinasi profil tidak tersedia langsung</t>
  </si>
  <si>
    <t xml:space="preserve">Data publik BPS umumnya tidak menyajikan kombinasi lengkap provinsi × desa/kota × kuintil × gender. Karena itu dipakai model estimasi berlapis (sheet Model Estimasi) dan harus diberi label 'estimasi indikatif'.</t>
  </si>
  <si>
    <t xml:space="preserve">K-Means dan Theil</t>
  </si>
  <si>
    <t xml:space="preserve">Hitung di Python atau R lalu impor hasilnya (label klaster, nilai Theil) sebagai kolom agar transparan dan bisa direproduksi. Notebook bisa ikut dimasukkan ke ZIP sebagai bukti metodologi.</t>
  </si>
  <si>
    <t xml:space="preserve">Platform</t>
  </si>
  <si>
    <t xml:space="preserve">Power BI nyaman untuk sinkronisasi filter antarhalaman dan rumus estimasi (DAX). Tableau juga cocok lewat Parameter dan Dashboard Action.</t>
  </si>
  <si>
    <t xml:space="preserve">Pengumpulan</t>
  </si>
  <si>
    <t xml:space="preserve">ZIP berisi file dashboard + dataset, serta PDF hasil dashboard. Penamaan: DAC_NamaTim.zip dan DAC_NamaTim.pdf. Dashboard maksimal 2 halaman dan wajib memuat watermark Data Slayer.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</si>
</sst>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%"/>
    <numFmt numFmtId="167" formatCode="0.000"/>
    <numFmt numFmtId="168" formatCode="0.0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ps.go.id/id/statistics-table/2/MTk4MyMy/tingkat-penyelesaian-pendidikan-menurut-jenjang-pendidikan-dan-kuintil-pengeluaran.html" TargetMode="External"/><Relationship Id="rId2" Type="http://schemas.openxmlformats.org/officeDocument/2006/relationships/hyperlink" Target="https://www.bps.go.id/en/statistics-table?subject=521" TargetMode="External"/><Relationship Id="rId3" Type="http://schemas.openxmlformats.org/officeDocument/2006/relationships/hyperlink" Target="https://www.bps.go.id/en/statistics-table/2/MTM0MyMy/angka-partisipasi-kasar--apk--sm-sederajat-menurut-kuintil-pengeluaran.html" TargetMode="External"/><Relationship Id="rId4" Type="http://schemas.openxmlformats.org/officeDocument/2006/relationships/hyperlink" Target="https://www.bps.go.id/en/statistics-table/2/MTQ0NCMy/angka-partisipasi-kasar--apk--perguruan-tinggi--pt--menurut-kuintil-pengeluaran.html" TargetMode="External"/><Relationship Id="rId5" Type="http://schemas.openxmlformats.org/officeDocument/2006/relationships/hyperlink" Target="https://www.bps.go.id/en/statistics-table/2/MTQ1NyMy/rasio-angka-partisipasi-kasar--apk--perempuan-laki-laki-di-tingkat-perguruan-tinggi-menurut-kuintil-pengeluaran.html" TargetMode="External"/><Relationship Id="rId6" Type="http://schemas.openxmlformats.org/officeDocument/2006/relationships/hyperlink" Target="https://www.bps.go.id/id/statistics-table/2/MjIxMSMy/angka-partisipasi-sekolah--aps--menurut-provinsi-dan-kelompok-umur.html" TargetMode="External"/><Relationship Id="rId7" Type="http://schemas.openxmlformats.org/officeDocument/2006/relationships/hyperlink" Target="https://www.bps.go.id/id/statistics-table/1/MTYxMyMx/angka-partisipasi-sekolah-aps-penduduk-umur-7-18-tahun-menurut-klasifikasi-desa-jenis-kelamin-dan-kelompok-umur-2009-2023.html" TargetMode="External"/><Relationship Id="rId8" Type="http://schemas.openxmlformats.org/officeDocument/2006/relationships/hyperlink" Target="https://www.bps.go.id/en/publication/2025/11/21/d048070f37740b0e04d99350/statistik-pendidikan-2025.html" TargetMode="External"/><Relationship Id="rId9" Type="http://schemas.openxmlformats.org/officeDocument/2006/relationships/hyperlink" Target="https://www.bps.go.id/en/statistics-table/1/MTUyNSMx/indikator-pendidikan--1994-2025.html" TargetMode="External"/><Relationship Id="rId10" Type="http://schemas.openxmlformats.org/officeDocument/2006/relationships/hyperlink" Target="https://www.bps.go.id/en/statistics-table?subject=521" TargetMode="External"/><Relationship Id="rId11" Type="http://schemas.openxmlformats.org/officeDocument/2006/relationships/hyperlink" Target="https://sumbar.bps.go.id/en/statistics-table/2/MTE3IzI=/angka-partisipasi-sekolah-aps-penduduk-berumur-5-18-tahun-menurut-kabupaten-kota-dan-kelompok-umur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 t="s">
        <v>16</v>
      </c>
      <c r="H5" s="7" t="s">
        <v>17</v>
      </c>
      <c r="I5" s="8"/>
    </row>
    <row r="6" customFormat="false" ht="23.85" hidden="false" customHeight="false" outlineLevel="0" collapsed="false">
      <c r="A6" s="4" t="n">
        <v>2</v>
      </c>
      <c r="B6" s="5" t="s">
        <v>18</v>
      </c>
      <c r="C6" s="5" t="s">
        <v>19</v>
      </c>
      <c r="D6" s="5" t="s">
        <v>13</v>
      </c>
      <c r="E6" s="5" t="s">
        <v>20</v>
      </c>
      <c r="F6" s="5" t="s">
        <v>21</v>
      </c>
      <c r="G6" s="6" t="s">
        <v>22</v>
      </c>
      <c r="H6" s="7" t="s">
        <v>17</v>
      </c>
      <c r="I6" s="8"/>
    </row>
    <row r="7" customFormat="false" ht="23.85" hidden="false" customHeight="false" outlineLevel="0" collapsed="false">
      <c r="A7" s="4" t="n">
        <v>3</v>
      </c>
      <c r="B7" s="5" t="s">
        <v>23</v>
      </c>
      <c r="C7" s="5" t="s">
        <v>24</v>
      </c>
      <c r="D7" s="5" t="s">
        <v>13</v>
      </c>
      <c r="E7" s="5" t="s">
        <v>25</v>
      </c>
      <c r="F7" s="5" t="s">
        <v>15</v>
      </c>
      <c r="G7" s="6" t="s">
        <v>26</v>
      </c>
      <c r="H7" s="7" t="s">
        <v>17</v>
      </c>
      <c r="I7" s="8"/>
    </row>
    <row r="8" customFormat="false" ht="23.85" hidden="false" customHeight="false" outlineLevel="0" collapsed="false">
      <c r="A8" s="4" t="n">
        <v>4</v>
      </c>
      <c r="B8" s="5" t="s">
        <v>27</v>
      </c>
      <c r="C8" s="5" t="s">
        <v>28</v>
      </c>
      <c r="D8" s="5" t="s">
        <v>13</v>
      </c>
      <c r="E8" s="5" t="s">
        <v>29</v>
      </c>
      <c r="F8" s="5" t="s">
        <v>30</v>
      </c>
      <c r="G8" s="6" t="s">
        <v>31</v>
      </c>
      <c r="H8" s="7" t="s">
        <v>17</v>
      </c>
      <c r="I8" s="8"/>
    </row>
    <row r="9" customFormat="false" ht="23.85" hidden="false" customHeight="false" outlineLevel="0" collapsed="false">
      <c r="A9" s="4" t="n">
        <v>5</v>
      </c>
      <c r="B9" s="5" t="s">
        <v>32</v>
      </c>
      <c r="C9" s="5" t="s">
        <v>33</v>
      </c>
      <c r="D9" s="5" t="s">
        <v>13</v>
      </c>
      <c r="E9" s="5" t="s">
        <v>34</v>
      </c>
      <c r="F9" s="5" t="s">
        <v>35</v>
      </c>
      <c r="G9" s="6" t="s">
        <v>36</v>
      </c>
      <c r="H9" s="7" t="s">
        <v>17</v>
      </c>
      <c r="I9" s="8"/>
    </row>
    <row r="10" customFormat="false" ht="23.85" hidden="false" customHeight="false" outlineLevel="0" collapsed="false">
      <c r="A10" s="4" t="n">
        <v>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6" t="s">
        <v>42</v>
      </c>
      <c r="H10" s="7" t="s">
        <v>17</v>
      </c>
      <c r="I10" s="8"/>
    </row>
    <row r="11" customFormat="false" ht="35.05" hidden="false" customHeight="false" outlineLevel="0" collapsed="false">
      <c r="A11" s="4" t="n">
        <v>7</v>
      </c>
      <c r="B11" s="5" t="s">
        <v>43</v>
      </c>
      <c r="C11" s="5" t="s">
        <v>44</v>
      </c>
      <c r="D11" s="5" t="s">
        <v>45</v>
      </c>
      <c r="E11" s="5" t="s">
        <v>46</v>
      </c>
      <c r="F11" s="5" t="s">
        <v>41</v>
      </c>
      <c r="G11" s="6" t="s">
        <v>47</v>
      </c>
      <c r="H11" s="7" t="s">
        <v>17</v>
      </c>
      <c r="I11" s="8"/>
    </row>
    <row r="12" customFormat="false" ht="35.05" hidden="false" customHeight="false" outlineLevel="0" collapsed="false">
      <c r="A12" s="4" t="n">
        <v>8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  <c r="G12" s="6" t="s">
        <v>53</v>
      </c>
      <c r="H12" s="7" t="s">
        <v>17</v>
      </c>
      <c r="I12" s="8"/>
    </row>
    <row r="13" customFormat="false" ht="23.85" hidden="false" customHeight="false" outlineLevel="0" collapsed="false">
      <c r="A13" s="4" t="n">
        <v>9</v>
      </c>
      <c r="B13" s="5" t="s">
        <v>54</v>
      </c>
      <c r="C13" s="5" t="s">
        <v>55</v>
      </c>
      <c r="D13" s="5" t="s">
        <v>13</v>
      </c>
      <c r="E13" s="5" t="s">
        <v>56</v>
      </c>
      <c r="F13" s="5" t="s">
        <v>57</v>
      </c>
      <c r="G13" s="6" t="s">
        <v>58</v>
      </c>
      <c r="H13" s="7" t="s">
        <v>17</v>
      </c>
      <c r="I13" s="8"/>
    </row>
    <row r="14" customFormat="false" ht="23.85" hidden="false" customHeight="false" outlineLevel="0" collapsed="false">
      <c r="A14" s="4" t="n">
        <v>10</v>
      </c>
      <c r="B14" s="5" t="s">
        <v>59</v>
      </c>
      <c r="C14" s="5" t="s">
        <v>60</v>
      </c>
      <c r="D14" s="5" t="s">
        <v>39</v>
      </c>
      <c r="E14" s="5" t="s">
        <v>61</v>
      </c>
      <c r="F14" s="5" t="s">
        <v>62</v>
      </c>
      <c r="G14" s="6" t="s">
        <v>22</v>
      </c>
      <c r="H14" s="7" t="s">
        <v>17</v>
      </c>
      <c r="I14" s="8"/>
    </row>
    <row r="15" customFormat="false" ht="23.85" hidden="false" customHeight="false" outlineLevel="0" collapsed="false">
      <c r="A15" s="4" t="n">
        <v>11</v>
      </c>
      <c r="B15" s="5" t="s">
        <v>63</v>
      </c>
      <c r="C15" s="5" t="s">
        <v>64</v>
      </c>
      <c r="D15" s="5" t="s">
        <v>65</v>
      </c>
      <c r="E15" s="5" t="s">
        <v>66</v>
      </c>
      <c r="F15" s="5" t="s">
        <v>67</v>
      </c>
      <c r="G15" s="5" t="s">
        <v>68</v>
      </c>
      <c r="H15" s="7" t="s">
        <v>17</v>
      </c>
      <c r="I15" s="8"/>
    </row>
    <row r="16" customFormat="false" ht="23.85" hidden="false" customHeight="false" outlineLevel="0" collapsed="false">
      <c r="A16" s="4" t="n">
        <v>12</v>
      </c>
      <c r="B16" s="5" t="s">
        <v>69</v>
      </c>
      <c r="C16" s="5" t="s">
        <v>70</v>
      </c>
      <c r="D16" s="5" t="s">
        <v>65</v>
      </c>
      <c r="E16" s="5" t="s">
        <v>71</v>
      </c>
      <c r="F16" s="5" t="s">
        <v>67</v>
      </c>
      <c r="G16" s="6" t="s">
        <v>72</v>
      </c>
      <c r="H16" s="7" t="s">
        <v>17</v>
      </c>
      <c r="I16" s="8"/>
    </row>
    <row r="17" customFormat="false" ht="23.85" hidden="false" customHeight="false" outlineLevel="0" collapsed="false">
      <c r="A17" s="4" t="n">
        <v>13</v>
      </c>
      <c r="B17" s="5" t="s">
        <v>73</v>
      </c>
      <c r="C17" s="5" t="s">
        <v>74</v>
      </c>
      <c r="D17" s="5" t="s">
        <v>65</v>
      </c>
      <c r="E17" s="5" t="s">
        <v>75</v>
      </c>
      <c r="F17" s="5" t="s">
        <v>76</v>
      </c>
      <c r="G17" s="5" t="s">
        <v>77</v>
      </c>
      <c r="H17" s="7" t="s">
        <v>17</v>
      </c>
      <c r="I17" s="8"/>
    </row>
    <row r="19" customFormat="false" ht="15" hidden="false" customHeight="false" outlineLevel="0" collapsed="false">
      <c r="B19" s="9" t="s">
        <v>78</v>
      </c>
    </row>
    <row r="20" customFormat="false" ht="15" hidden="false" customHeight="false" outlineLevel="0" collapsed="false">
      <c r="B20" s="10" t="s">
        <v>17</v>
      </c>
      <c r="C20" s="11" t="n">
        <f aca="false">COUNTIF($H$5:$H$17,B20)</f>
        <v>13</v>
      </c>
    </row>
    <row r="21" customFormat="false" ht="15" hidden="false" customHeight="false" outlineLevel="0" collapsed="false">
      <c r="B21" s="10" t="s">
        <v>79</v>
      </c>
      <c r="C21" s="11" t="n">
        <f aca="false">COUNTIF($H$5:$H$17,B21)</f>
        <v>0</v>
      </c>
    </row>
    <row r="22" customFormat="false" ht="15" hidden="false" customHeight="false" outlineLevel="0" collapsed="false">
      <c r="B22" s="10" t="s">
        <v>80</v>
      </c>
      <c r="C22" s="11" t="n">
        <f aca="false">COUNTIF($H$5:$H$17,B22)</f>
        <v>0</v>
      </c>
    </row>
    <row r="23" customFormat="false" ht="15" hidden="false" customHeight="false" outlineLevel="0" collapsed="false">
      <c r="B23" s="9" t="s">
        <v>81</v>
      </c>
      <c r="C23" s="12" t="n">
        <f aca="false">COUNTA($B$5:$B$17)</f>
        <v>13</v>
      </c>
    </row>
  </sheetData>
  <mergeCells count="1">
    <mergeCell ref="A2:I2"/>
  </mergeCells>
  <dataValidations count="1">
    <dataValidation allowBlank="false" errorStyle="stop" operator="between" showDropDown="false" showErrorMessage="false" showInputMessage="false" sqref="H5:H17" type="list">
      <formula1>"Belum dicek,Sudah dicek,Tidak tersedia"</formula1>
      <formula2>0</formula2>
    </dataValidation>
  </dataValidations>
  <hyperlinks>
    <hyperlink ref="G5" r:id="rId1" display="https://www.bps.go.id/id/statistics-table/2/MTk4MyMy/tingkat-penyelesaian-pendidikan-menurut-jenjang-pendidikan-dan-kuintil-pengeluaran.html"/>
    <hyperlink ref="G6" r:id="rId2" display="https://www.bps.go.id/en/statistics-table?subject=521"/>
    <hyperlink ref="G7" r:id="rId3" display="https://www.bps.go.id/en/statistics-table/2/MTM0MyMy/angka-partisipasi-kasar--apk--sm-sederajat-menurut-kuintil-pengeluaran.html"/>
    <hyperlink ref="G8" r:id="rId4" display="https://www.bps.go.id/en/statistics-table/2/MTQ0NCMy/angka-partisipasi-kasar--apk--perguruan-tinggi--pt--menurut-kuintil-pengeluaran.html"/>
    <hyperlink ref="G9" r:id="rId5" display="https://www.bps.go.id/en/statistics-table/2/MTQ1NyMy/rasio-angka-partisipasi-kasar--apk--perempuan-laki-laki-di-tingkat-perguruan-tinggi-menurut-kuintil-pengeluaran.html"/>
    <hyperlink ref="G10" r:id="rId6" display="https://www.bps.go.id/id/statistics-table/2/MjIxMSMy/angka-partisipasi-sekolah--aps--menurut-provinsi-dan-kelompok-umur.html"/>
    <hyperlink ref="G11" r:id="rId7" display="https://www.bps.go.id/id/statistics-table/1/MTYxMyMx/angka-partisipasi-sekolah-aps-penduduk-umur-7-18-tahun-menurut-klasifikasi-desa-jenis-kelamin-dan-kelompok-umur-2009-2023.html"/>
    <hyperlink ref="G12" r:id="rId8" display="https://www.bps.go.id/en/publication/2025/11/21/d048070f37740b0e04d99350/statistik-pendidikan-2025.html"/>
    <hyperlink ref="G13" r:id="rId9" display="https://www.bps.go.id/en/statistics-table/1/MTUyNSMx/indikator-pendidikan--1994-2025.html"/>
    <hyperlink ref="G14" r:id="rId10" display="https://www.bps.go.id/en/statistics-table?subject=521"/>
    <hyperlink ref="G16" r:id="rId11" display="https://sumbar.bps.go.id/en/statistics-table/2/MTE3IzI=/angka-partisipasi-sekolah-aps-penduduk-berumur-5-18-tahun-menurut-kabupaten-kota-dan-kelompok-umur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82</v>
      </c>
    </row>
    <row r="3" customFormat="false" ht="23.85" hidden="false" customHeight="false" outlineLevel="0" collapsed="false">
      <c r="A3" s="3" t="s">
        <v>83</v>
      </c>
      <c r="B3" s="3" t="s">
        <v>84</v>
      </c>
      <c r="C3" s="3" t="s">
        <v>85</v>
      </c>
      <c r="D3" s="3" t="s">
        <v>86</v>
      </c>
      <c r="E3" s="3" t="s">
        <v>87</v>
      </c>
    </row>
    <row r="4" customFormat="false" ht="23.85" hidden="false" customHeight="false" outlineLevel="0" collapsed="false">
      <c r="A4" s="13" t="s">
        <v>88</v>
      </c>
      <c r="B4" s="5" t="s">
        <v>89</v>
      </c>
      <c r="C4" s="5" t="s">
        <v>90</v>
      </c>
      <c r="D4" s="5" t="s">
        <v>91</v>
      </c>
      <c r="E4" s="5" t="s">
        <v>92</v>
      </c>
    </row>
    <row r="5" customFormat="false" ht="23.85" hidden="false" customHeight="false" outlineLevel="0" collapsed="false">
      <c r="A5" s="13" t="s">
        <v>88</v>
      </c>
      <c r="B5" s="5" t="s">
        <v>93</v>
      </c>
      <c r="C5" s="5" t="s">
        <v>94</v>
      </c>
      <c r="D5" s="5" t="s">
        <v>95</v>
      </c>
      <c r="E5" s="5" t="s">
        <v>96</v>
      </c>
    </row>
    <row r="6" customFormat="false" ht="15" hidden="false" customHeight="false" outlineLevel="0" collapsed="false">
      <c r="A6" s="13" t="s">
        <v>88</v>
      </c>
      <c r="B6" s="5" t="s">
        <v>97</v>
      </c>
      <c r="C6" s="5" t="s">
        <v>98</v>
      </c>
      <c r="D6" s="5" t="s">
        <v>99</v>
      </c>
      <c r="E6" s="5" t="s">
        <v>100</v>
      </c>
    </row>
    <row r="7" customFormat="false" ht="15" hidden="false" customHeight="false" outlineLevel="0" collapsed="false">
      <c r="A7" s="13" t="s">
        <v>88</v>
      </c>
      <c r="B7" s="5" t="s">
        <v>101</v>
      </c>
      <c r="C7" s="5" t="s">
        <v>102</v>
      </c>
      <c r="D7" s="5" t="s">
        <v>103</v>
      </c>
      <c r="E7" s="5" t="s">
        <v>104</v>
      </c>
    </row>
    <row r="8" customFormat="false" ht="23.85" hidden="false" customHeight="false" outlineLevel="0" collapsed="false">
      <c r="A8" s="13" t="s">
        <v>105</v>
      </c>
      <c r="B8" s="5" t="s">
        <v>106</v>
      </c>
      <c r="C8" s="5" t="s">
        <v>107</v>
      </c>
      <c r="D8" s="5" t="s">
        <v>108</v>
      </c>
      <c r="E8" s="5" t="s">
        <v>109</v>
      </c>
    </row>
    <row r="9" customFormat="false" ht="23.85" hidden="false" customHeight="false" outlineLevel="0" collapsed="false">
      <c r="A9" s="13" t="s">
        <v>105</v>
      </c>
      <c r="B9" s="5" t="s">
        <v>110</v>
      </c>
      <c r="C9" s="5" t="s">
        <v>111</v>
      </c>
      <c r="D9" s="5" t="s">
        <v>112</v>
      </c>
      <c r="E9" s="5" t="s">
        <v>113</v>
      </c>
    </row>
    <row r="10" customFormat="false" ht="23.85" hidden="false" customHeight="false" outlineLevel="0" collapsed="false">
      <c r="A10" s="13" t="s">
        <v>105</v>
      </c>
      <c r="B10" s="5" t="s">
        <v>114</v>
      </c>
      <c r="C10" s="5" t="s">
        <v>115</v>
      </c>
      <c r="D10" s="5" t="s">
        <v>116</v>
      </c>
      <c r="E10" s="5" t="s">
        <v>117</v>
      </c>
    </row>
    <row r="11" customFormat="false" ht="15" hidden="false" customHeight="false" outlineLevel="0" collapsed="false">
      <c r="A11" s="13" t="s">
        <v>105</v>
      </c>
      <c r="B11" s="5" t="s">
        <v>118</v>
      </c>
      <c r="C11" s="5" t="s">
        <v>119</v>
      </c>
      <c r="D11" s="5" t="s">
        <v>120</v>
      </c>
      <c r="E11" s="5" t="s">
        <v>121</v>
      </c>
    </row>
    <row r="12" customFormat="false" ht="15" hidden="false" customHeight="false" outlineLevel="0" collapsed="false">
      <c r="A12" s="13" t="s">
        <v>105</v>
      </c>
      <c r="B12" s="5" t="s">
        <v>122</v>
      </c>
      <c r="C12" s="5" t="s">
        <v>123</v>
      </c>
      <c r="D12" s="5" t="s">
        <v>103</v>
      </c>
      <c r="E12" s="5" t="s">
        <v>124</v>
      </c>
    </row>
    <row r="13" customFormat="false" ht="23.85" hidden="false" customHeight="false" outlineLevel="0" collapsed="false">
      <c r="A13" s="13" t="s">
        <v>125</v>
      </c>
      <c r="B13" s="5" t="s">
        <v>126</v>
      </c>
      <c r="C13" s="5" t="s">
        <v>127</v>
      </c>
      <c r="D13" s="5" t="s">
        <v>128</v>
      </c>
      <c r="E13" s="5" t="s">
        <v>129</v>
      </c>
    </row>
    <row r="14" customFormat="false" ht="23.85" hidden="false" customHeight="false" outlineLevel="0" collapsed="false">
      <c r="A14" s="13" t="s">
        <v>125</v>
      </c>
      <c r="B14" s="5" t="s">
        <v>130</v>
      </c>
      <c r="C14" s="5" t="s">
        <v>131</v>
      </c>
      <c r="D14" s="5" t="s">
        <v>128</v>
      </c>
      <c r="E14" s="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9" t="s">
        <v>134</v>
      </c>
    </row>
    <row r="3" customFormat="false" ht="27.75" hidden="false" customHeight="true" outlineLevel="0" collapsed="false">
      <c r="A3" s="2" t="s">
        <v>135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A5" s="9" t="s">
        <v>136</v>
      </c>
      <c r="B5" s="14" t="s">
        <v>137</v>
      </c>
      <c r="C5" s="15" t="s">
        <v>138</v>
      </c>
      <c r="E5" s="10" t="s">
        <v>139</v>
      </c>
    </row>
    <row r="7" customFormat="false" ht="15" hidden="false" customHeight="true" outlineLevel="0" collapsed="false">
      <c r="B7" s="16" t="s">
        <v>140</v>
      </c>
      <c r="C7" s="16"/>
      <c r="D7" s="16"/>
      <c r="E7" s="16"/>
      <c r="F7" s="16"/>
      <c r="G7" s="16" t="s">
        <v>141</v>
      </c>
      <c r="H7" s="16"/>
      <c r="I7" s="16"/>
      <c r="J7" s="16"/>
      <c r="K7" s="16"/>
    </row>
    <row r="8" customFormat="false" ht="31.5" hidden="false" customHeight="true" outlineLevel="0" collapsed="false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 t="s">
        <v>147</v>
      </c>
      <c r="G8" s="3" t="s">
        <v>143</v>
      </c>
      <c r="H8" s="3" t="s">
        <v>144</v>
      </c>
      <c r="I8" s="3" t="s">
        <v>145</v>
      </c>
      <c r="J8" s="3" t="s">
        <v>146</v>
      </c>
      <c r="K8" s="3" t="s">
        <v>147</v>
      </c>
      <c r="L8" s="3" t="s">
        <v>148</v>
      </c>
    </row>
    <row r="9" customFormat="false" ht="15" hidden="false" customHeight="false" outlineLevel="0" collapsed="false">
      <c r="A9" s="17" t="s">
        <v>149</v>
      </c>
      <c r="B9" s="18" t="n">
        <v>0.9636</v>
      </c>
      <c r="C9" s="19" t="n">
        <v>1</v>
      </c>
      <c r="D9" s="19" t="n">
        <v>1</v>
      </c>
      <c r="E9" s="19" t="n">
        <v>1</v>
      </c>
      <c r="F9" s="20" t="n">
        <f aca="false">IF(B9="","",MIN(1,B9*C9*D9*E9))</f>
        <v>0.9636</v>
      </c>
      <c r="G9" s="18" t="n">
        <v>0.9812</v>
      </c>
      <c r="H9" s="19" t="n">
        <v>1</v>
      </c>
      <c r="I9" s="19" t="n">
        <v>1</v>
      </c>
      <c r="J9" s="19" t="n">
        <v>1</v>
      </c>
      <c r="K9" s="20" t="n">
        <f aca="false">IF(G9="","",MIN(1,G9*H9*I9*J9))</f>
        <v>0.9812</v>
      </c>
      <c r="L9" s="21" t="n">
        <f aca="false">IF(OR(F9="",K9=""),"",(K9-F9)*100)</f>
        <v>1.76</v>
      </c>
    </row>
    <row r="10" customFormat="false" ht="15" hidden="false" customHeight="false" outlineLevel="0" collapsed="false">
      <c r="A10" s="17" t="s">
        <v>150</v>
      </c>
      <c r="B10" s="18" t="n">
        <v>0.8517</v>
      </c>
      <c r="C10" s="19" t="n">
        <v>1</v>
      </c>
      <c r="D10" s="19" t="n">
        <v>1</v>
      </c>
      <c r="E10" s="19" t="n">
        <v>1</v>
      </c>
      <c r="F10" s="20" t="n">
        <f aca="false">IF(B10="","",MIN(1,B10*C10*D10*E10))</f>
        <v>0.8517</v>
      </c>
      <c r="G10" s="18" t="n">
        <v>0.9112</v>
      </c>
      <c r="H10" s="19" t="n">
        <v>1</v>
      </c>
      <c r="I10" s="19" t="n">
        <v>1</v>
      </c>
      <c r="J10" s="19" t="n">
        <v>1</v>
      </c>
      <c r="K10" s="20" t="n">
        <f aca="false">IF(G10="","",MIN(1,G10*H10*I10*J10))</f>
        <v>0.9112</v>
      </c>
      <c r="L10" s="21" t="n">
        <f aca="false">IF(OR(F10="",K10=""),"",(K10-F10)*100)</f>
        <v>5.95</v>
      </c>
    </row>
    <row r="11" customFormat="false" ht="15" hidden="false" customHeight="false" outlineLevel="0" collapsed="false">
      <c r="A11" s="17" t="s">
        <v>151</v>
      </c>
      <c r="B11" s="18" t="n">
        <v>0.5241</v>
      </c>
      <c r="C11" s="19" t="n">
        <v>1</v>
      </c>
      <c r="D11" s="19" t="n">
        <v>1</v>
      </c>
      <c r="E11" s="19" t="n">
        <v>1</v>
      </c>
      <c r="F11" s="20" t="n">
        <f aca="false">IF(B11="","",MIN(1,B11*C11*D11*E11))</f>
        <v>0.5241</v>
      </c>
      <c r="G11" s="18" t="n">
        <v>0.6826</v>
      </c>
      <c r="H11" s="19" t="n">
        <v>1</v>
      </c>
      <c r="I11" s="19" t="n">
        <v>1</v>
      </c>
      <c r="J11" s="19" t="n">
        <v>1</v>
      </c>
      <c r="K11" s="20" t="n">
        <f aca="false">IF(G11="","",MIN(1,G11*H11*I11*J11))</f>
        <v>0.6826</v>
      </c>
      <c r="L11" s="21" t="n">
        <f aca="false">IF(OR(F11="",K11=""),"",(K11-F11)*100)</f>
        <v>15.85</v>
      </c>
    </row>
    <row r="12" customFormat="false" ht="15" hidden="false" customHeight="false" outlineLevel="0" collapsed="false">
      <c r="A12" s="17" t="s">
        <v>152</v>
      </c>
      <c r="B12" s="18"/>
      <c r="C12" s="19" t="n">
        <v>1</v>
      </c>
      <c r="D12" s="19" t="n">
        <v>1</v>
      </c>
      <c r="E12" s="19" t="n">
        <v>1</v>
      </c>
      <c r="F12" s="20" t="str">
        <f aca="false">IF(B12="","",MIN(1,B12*C12*D12*E12))</f>
        <v/>
      </c>
      <c r="G12" s="18"/>
      <c r="H12" s="19" t="n">
        <v>1</v>
      </c>
      <c r="I12" s="19" t="n">
        <v>1</v>
      </c>
      <c r="J12" s="19" t="n">
        <v>1</v>
      </c>
      <c r="K12" s="20" t="str">
        <f aca="false">IF(G12="","",MIN(1,G12*H12*I12*J12))</f>
        <v/>
      </c>
      <c r="L12" s="21" t="str">
        <f aca="false">IF(OR(F12="",K12=""),"",(K12-F12)*100)</f>
        <v/>
      </c>
    </row>
    <row r="14" customFormat="false" ht="15" hidden="false" customHeight="false" outlineLevel="0" collapsed="false">
      <c r="A14" s="9" t="s">
        <v>153</v>
      </c>
    </row>
    <row r="15" customFormat="false" ht="15" hidden="false" customHeight="false" outlineLevel="0" collapsed="false">
      <c r="A15" s="10" t="s">
        <v>154</v>
      </c>
      <c r="F15" s="22" t="n">
        <f aca="false">F11</f>
        <v>0.5241</v>
      </c>
    </row>
    <row r="16" customFormat="false" ht="15" hidden="false" customHeight="false" outlineLevel="0" collapsed="false">
      <c r="A16" s="10" t="s">
        <v>155</v>
      </c>
      <c r="F16" s="23" t="n">
        <f aca="false">L11</f>
        <v>15.85</v>
      </c>
    </row>
    <row r="17" customFormat="false" ht="15" hidden="false" customHeight="false" outlineLevel="0" collapsed="false">
      <c r="A17" s="10" t="s">
        <v>156</v>
      </c>
      <c r="F17" s="24" t="str">
        <f aca="false">IFERROR(INDEX($A$9:$A$12,MATCH(MAX($L$9:$L$12),$L$9:$L$12,0)),"")</f>
        <v>SMA</v>
      </c>
    </row>
    <row r="19" customFormat="false" ht="15" hidden="false" customHeight="false" outlineLevel="0" collapsed="false">
      <c r="A19" s="9" t="s">
        <v>157</v>
      </c>
    </row>
    <row r="20" customFormat="false" ht="15" hidden="false" customHeight="false" outlineLevel="0" collapsed="false">
      <c r="A20" s="25" t="s">
        <v>158</v>
      </c>
    </row>
    <row r="21" customFormat="false" ht="15" hidden="false" customHeight="false" outlineLevel="0" collapsed="false">
      <c r="A21" s="25" t="s">
        <v>159</v>
      </c>
    </row>
    <row r="22" customFormat="false" ht="15" hidden="false" customHeight="false" outlineLevel="0" collapsed="false">
      <c r="A22" s="25" t="s">
        <v>160</v>
      </c>
    </row>
    <row r="23" customFormat="false" ht="15" hidden="false" customHeight="false" outlineLevel="0" collapsed="false">
      <c r="A23" s="25" t="s">
        <v>161</v>
      </c>
    </row>
    <row r="24" customFormat="false" ht="15" hidden="false" customHeight="false" outlineLevel="0" collapsed="false">
      <c r="A24" s="25" t="s">
        <v>162</v>
      </c>
    </row>
  </sheetData>
  <mergeCells count="3">
    <mergeCell ref="A3:L3"/>
    <mergeCell ref="B7:F7"/>
    <mergeCell ref="G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3" t="s">
        <v>2</v>
      </c>
      <c r="B3" s="3" t="s">
        <v>164</v>
      </c>
      <c r="C3" s="3" t="s">
        <v>165</v>
      </c>
    </row>
    <row r="4" customFormat="false" ht="35.05" hidden="false" customHeight="false" outlineLevel="0" collapsed="false">
      <c r="A4" s="4" t="n">
        <v>1</v>
      </c>
      <c r="B4" s="13" t="s">
        <v>166</v>
      </c>
      <c r="C4" s="5" t="s">
        <v>167</v>
      </c>
    </row>
    <row r="5" customFormat="false" ht="23.85" hidden="false" customHeight="false" outlineLevel="0" collapsed="false">
      <c r="A5" s="4" t="n">
        <v>2</v>
      </c>
      <c r="B5" s="13" t="s">
        <v>168</v>
      </c>
      <c r="C5" s="5" t="s">
        <v>169</v>
      </c>
    </row>
    <row r="6" customFormat="false" ht="23.85" hidden="false" customHeight="false" outlineLevel="0" collapsed="false">
      <c r="A6" s="4" t="n">
        <v>3</v>
      </c>
      <c r="B6" s="13" t="s">
        <v>170</v>
      </c>
      <c r="C6" s="5" t="s">
        <v>171</v>
      </c>
    </row>
    <row r="7" customFormat="false" ht="23.85" hidden="false" customHeight="false" outlineLevel="0" collapsed="false">
      <c r="A7" s="4" t="n">
        <v>4</v>
      </c>
      <c r="B7" s="13" t="s">
        <v>172</v>
      </c>
      <c r="C7" s="5" t="s">
        <v>173</v>
      </c>
    </row>
    <row r="8" customFormat="false" ht="23.85" hidden="false" customHeight="false" outlineLevel="0" collapsed="false">
      <c r="A8" s="4" t="n">
        <v>5</v>
      </c>
      <c r="B8" s="13" t="s">
        <v>174</v>
      </c>
      <c r="C8" s="5" t="s">
        <v>175</v>
      </c>
    </row>
    <row r="9" customFormat="false" ht="23.85" hidden="false" customHeight="false" outlineLevel="0" collapsed="false">
      <c r="A9" s="4" t="n">
        <v>6</v>
      </c>
      <c r="B9" s="13" t="s">
        <v>176</v>
      </c>
      <c r="C9" s="5" t="s">
        <v>177</v>
      </c>
    </row>
    <row r="10" customFormat="false" ht="23.85" hidden="false" customHeight="false" outlineLevel="0" collapsed="false">
      <c r="A10" s="4" t="n">
        <v>7</v>
      </c>
      <c r="B10" s="13" t="s">
        <v>178</v>
      </c>
      <c r="C10" s="5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2026-10-21T03:37:38Z</dcterms:created>
  <dc:creator>openpyxl</dc:creator>
  <dc:description/>
  <dc:language>en-US</dc:language>
  <cp:lastModifiedBy/>
  <dcterms:modified xsi:type="dcterms:W3CDTF">2026-10-21T03:37:38Z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